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tianle/Desktop/Kao Lab/Data Local/"/>
    </mc:Choice>
  </mc:AlternateContent>
  <xr:revisionPtr revIDLastSave="0" documentId="13_ncr:1_{056A30C0-9212-C34E-A173-CDAAF0C19C1D}" xr6:coauthVersionLast="47" xr6:coauthVersionMax="47" xr10:uidLastSave="{00000000-0000-0000-0000-000000000000}"/>
  <bookViews>
    <workbookView xWindow="4320" yWindow="660" windowWidth="25920" windowHeight="20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G21" i="1"/>
  <c r="H20" i="1"/>
  <c r="G20" i="1"/>
  <c r="G18" i="1"/>
  <c r="G19" i="1"/>
  <c r="G17" i="1"/>
  <c r="G35" i="1"/>
  <c r="G34" i="1"/>
  <c r="G29" i="1"/>
  <c r="G41" i="1" s="1"/>
  <c r="G36" i="1"/>
  <c r="G48" i="1"/>
  <c r="G47" i="1"/>
  <c r="G46" i="1"/>
  <c r="G45" i="1"/>
  <c r="G44" i="1"/>
  <c r="G43" i="1"/>
  <c r="G42" i="1"/>
  <c r="G39" i="1"/>
  <c r="G38" i="1"/>
  <c r="G37" i="1"/>
  <c r="G33" i="1"/>
  <c r="G32" i="1"/>
  <c r="G31" i="1"/>
  <c r="G30" i="1"/>
  <c r="G28" i="1"/>
  <c r="G27" i="1"/>
  <c r="G26" i="1"/>
  <c r="G25" i="1"/>
  <c r="F40" i="1" s="1"/>
  <c r="G16" i="1"/>
  <c r="G15" i="1"/>
  <c r="G13" i="1"/>
  <c r="G12" i="1"/>
  <c r="G11" i="1"/>
  <c r="G10" i="1"/>
  <c r="G9" i="1"/>
  <c r="G8" i="1"/>
  <c r="G7" i="1"/>
  <c r="G6" i="1"/>
  <c r="G5" i="1"/>
  <c r="G4" i="1"/>
  <c r="G3" i="1"/>
  <c r="G2" i="1"/>
  <c r="F41" i="1" l="1"/>
  <c r="G40" i="1"/>
</calcChain>
</file>

<file path=xl/sharedStrings.xml><?xml version="1.0" encoding="utf-8"?>
<sst xmlns="http://schemas.openxmlformats.org/spreadsheetml/2006/main" count="420" uniqueCount="120">
  <si>
    <t>Bird</t>
  </si>
  <si>
    <t>People</t>
  </si>
  <si>
    <t>Species</t>
  </si>
  <si>
    <t>Sex</t>
  </si>
  <si>
    <t>Success</t>
  </si>
  <si>
    <t>Box</t>
  </si>
  <si>
    <t>dph at move in</t>
  </si>
  <si>
    <t>Rule Training Range</t>
  </si>
  <si>
    <t>DOB</t>
  </si>
  <si>
    <t>Include</t>
  </si>
  <si>
    <t>Group</t>
  </si>
  <si>
    <t>Order</t>
  </si>
  <si>
    <t>Trials to Criterion (A)</t>
  </si>
  <si>
    <t>Trials to Criterion (B)</t>
  </si>
  <si>
    <t>Trials to Criterion (C)</t>
  </si>
  <si>
    <t>Note</t>
  </si>
  <si>
    <t>Arrived at Box</t>
  </si>
  <si>
    <t>y62p92</t>
  </si>
  <si>
    <t>Tim &amp; Tyler</t>
  </si>
  <si>
    <t>BF</t>
  </si>
  <si>
    <t>Male</t>
  </si>
  <si>
    <t>E10</t>
  </si>
  <si>
    <t>BF_Regularity</t>
  </si>
  <si>
    <t>ABC</t>
  </si>
  <si>
    <t>Failed Sound A</t>
  </si>
  <si>
    <t>o40o79</t>
  </si>
  <si>
    <t>E03</t>
  </si>
  <si>
    <t>g53o49</t>
  </si>
  <si>
    <t>E02</t>
  </si>
  <si>
    <t>75-275ms</t>
  </si>
  <si>
    <t>Finished rule training</t>
  </si>
  <si>
    <t>w66w67</t>
  </si>
  <si>
    <t>E01</t>
  </si>
  <si>
    <t>40-240ms</t>
  </si>
  <si>
    <t>Finished rule training; &lt;100-trial Sound B testing days</t>
  </si>
  <si>
    <t>y64p94</t>
  </si>
  <si>
    <t>E08</t>
  </si>
  <si>
    <t>o7</t>
  </si>
  <si>
    <t>40-275ms</t>
  </si>
  <si>
    <t>y98p10</t>
  </si>
  <si>
    <t>y4p74</t>
  </si>
  <si>
    <t>Finished rule training; &lt;100-trial Sound B testing day</t>
  </si>
  <si>
    <t>p23y87</t>
  </si>
  <si>
    <t>E05</t>
  </si>
  <si>
    <t>p1y44</t>
  </si>
  <si>
    <t>E07</t>
  </si>
  <si>
    <t>p14y63</t>
  </si>
  <si>
    <t>E11</t>
  </si>
  <si>
    <t>o70o85</t>
  </si>
  <si>
    <t>E12</t>
  </si>
  <si>
    <t>o10</t>
  </si>
  <si>
    <t>Female</t>
  </si>
  <si>
    <t>Tempo Discrim</t>
  </si>
  <si>
    <t>120 S+</t>
  </si>
  <si>
    <t>y62p51</t>
  </si>
  <si>
    <t>144 S+</t>
  </si>
  <si>
    <t>o1o2</t>
  </si>
  <si>
    <t>ZF</t>
  </si>
  <si>
    <t>E02 (226C)</t>
  </si>
  <si>
    <t>ZF_Regularity</t>
  </si>
  <si>
    <t>ACB</t>
  </si>
  <si>
    <t>o5o6</t>
  </si>
  <si>
    <t>E03 (226C)</t>
  </si>
  <si>
    <t>w47o64</t>
  </si>
  <si>
    <t>o27g88</t>
  </si>
  <si>
    <t>b93o9</t>
  </si>
  <si>
    <t>120-180ms</t>
  </si>
  <si>
    <t>Finished rule training but wrong range</t>
  </si>
  <si>
    <t>o68g47</t>
  </si>
  <si>
    <t>Finished rule training, old vGap/IOI testing</t>
  </si>
  <si>
    <t>o13g88</t>
  </si>
  <si>
    <t>w85k85</t>
  </si>
  <si>
    <t>E09/E06</t>
  </si>
  <si>
    <t>k35o47</t>
  </si>
  <si>
    <t>E04</t>
  </si>
  <si>
    <t>Finished rule training, variable gap/IOI testing,  HVC inactivation experiment, lights broken for one month</t>
  </si>
  <si>
    <t>o62g87</t>
  </si>
  <si>
    <t>Finished rule training, neural recording</t>
  </si>
  <si>
    <t>w49g3</t>
  </si>
  <si>
    <t>b25y70</t>
  </si>
  <si>
    <t>y92y99</t>
  </si>
  <si>
    <t>pi20k93</t>
  </si>
  <si>
    <t>pi22k59</t>
  </si>
  <si>
    <t>E01 (226C)</t>
  </si>
  <si>
    <t>b45y83</t>
  </si>
  <si>
    <t>r100p13</t>
  </si>
  <si>
    <t>Failed sound A</t>
  </si>
  <si>
    <t>r87p67</t>
  </si>
  <si>
    <t>r30p90</t>
  </si>
  <si>
    <t>Failed sound B</t>
  </si>
  <si>
    <t>p62b22</t>
  </si>
  <si>
    <t>w28o78</t>
  </si>
  <si>
    <t>k46o30</t>
  </si>
  <si>
    <t>o25w25</t>
  </si>
  <si>
    <t>Andrew</t>
  </si>
  <si>
    <t>ZF2,3</t>
  </si>
  <si>
    <t>y52r52</t>
  </si>
  <si>
    <t>ZF3</t>
  </si>
  <si>
    <t>b61g61</t>
  </si>
  <si>
    <t>y46r46</t>
  </si>
  <si>
    <t>b87g69</t>
  </si>
  <si>
    <t>o78w78</t>
  </si>
  <si>
    <t>E06</t>
  </si>
  <si>
    <t>b71k61</t>
  </si>
  <si>
    <t>Successful transfer to 144, restested A, range testing</t>
  </si>
  <si>
    <t>Successful transfer to 144, range testing</t>
  </si>
  <si>
    <t>Moderately successful transfer to 144, range testing, retested probes. Brought back for Sound E</t>
  </si>
  <si>
    <t>Successful transfer to 144, range testing. Brought back for Sound E</t>
  </si>
  <si>
    <t>Moderately successful transfer to 144, range testing, retested probes, probed with sound E- rapid acquisition</t>
  </si>
  <si>
    <t>Died during surgery after learning. Accidentally moved to reduced reinforcement early for first sound A but moved back. Early reduced reinf block (5) dropped, blocks 4 and 6 (split training blocks) merged</t>
  </si>
  <si>
    <t>Moved on from B training even though technically didn't meet criteria but was moved back to training B. Early reduced reinf block (8) dropped in analysis, blocks 7 and 9 (split training blocks) merged</t>
  </si>
  <si>
    <t>Andrew's Birds</t>
  </si>
  <si>
    <t>Failed A and B</t>
  </si>
  <si>
    <t>Failed Sound A, but did all three sounds</t>
  </si>
  <si>
    <t>Finished rule training, old vgap/IOI, &gt;30 days for sound B, did all three sounds</t>
  </si>
  <si>
    <t>currently on training B</t>
  </si>
  <si>
    <t>currently on testing B</t>
  </si>
  <si>
    <t>o75o38</t>
  </si>
  <si>
    <t>p72y40</t>
  </si>
  <si>
    <t>o3o48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</si>
</sst>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theme="4"/>
      </patternFill>
    </fill>
    <fill>
      <patternFill patternType="solid">
        <fgColor rgb="FFFFA4A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9" fontId="2" fillId="0" borderId="0">
      <alignment horizontal="left" vertical="top" wrapText="1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1" fillId="2" borderId="2" xfId="0" applyNumberFormat="1" applyFont="1" applyFill="1" applyBorder="1" applyAlignment="1">
      <alignment horizontal="left" vertical="top" wrapText="1"/>
    </xf>
    <xf numFmtId="14" fontId="1" fillId="2" borderId="2" xfId="1" applyNumberFormat="1" applyFont="1" applyFill="1" applyBorder="1" applyAlignment="1">
      <alignment horizontal="left" vertical="top"/>
    </xf>
    <xf numFmtId="0" fontId="0" fillId="3" borderId="0" xfId="0" applyFill="1"/>
    <xf numFmtId="14" fontId="0" fillId="0" borderId="0" xfId="0" applyNumberFormat="1"/>
    <xf numFmtId="0" fontId="0" fillId="4" borderId="0" xfId="0" applyFill="1"/>
    <xf numFmtId="0" fontId="3" fillId="0" borderId="0" xfId="0" applyFont="1"/>
    <xf numFmtId="0" fontId="0" fillId="5" borderId="0" xfId="0" applyFill="1"/>
    <xf numFmtId="0" fontId="4" fillId="5" borderId="0" xfId="0" applyFont="1" applyFill="1"/>
    <xf numFmtId="0" fontId="0" fillId="0" borderId="0" xfId="0" applyFill="1"/>
  </cellXfs>
  <cellStyles count="2">
    <cellStyle name="Normal" xfId="0" builtinId="0"/>
    <cellStyle name="Normal Bird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zoomScale="94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0" sqref="I20"/>
    </sheetView>
  </sheetViews>
  <sheetFormatPr baseColWidth="10" defaultColWidth="11" defaultRowHeight="16" x14ac:dyDescent="0.2"/>
  <cols>
    <col min="1" max="1" width="13.33203125" bestFit="1" customWidth="1"/>
    <col min="8" max="8" width="11.5" customWidth="1"/>
    <col min="11" max="11" width="13.1640625" bestFit="1" customWidth="1"/>
    <col min="16" max="16" width="165" customWidth="1"/>
    <col min="17" max="17" width="12" bestFit="1" customWidth="1"/>
  </cols>
  <sheetData>
    <row r="1" spans="1:17" ht="36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</row>
    <row r="2" spans="1:17" x14ac:dyDescent="0.2">
      <c r="A2" s="5" t="s">
        <v>17</v>
      </c>
      <c r="B2" t="s">
        <v>18</v>
      </c>
      <c r="C2" t="s">
        <v>19</v>
      </c>
      <c r="D2" t="s">
        <v>20</v>
      </c>
      <c r="E2" t="b">
        <v>0</v>
      </c>
      <c r="F2" t="s">
        <v>21</v>
      </c>
      <c r="G2">
        <f t="shared" ref="G2:G13" si="0">Q2-I2</f>
        <v>66</v>
      </c>
      <c r="I2" s="6">
        <v>45977</v>
      </c>
      <c r="J2" t="b">
        <v>1</v>
      </c>
      <c r="K2" t="s">
        <v>22</v>
      </c>
      <c r="L2" t="s">
        <v>23</v>
      </c>
      <c r="P2" t="s">
        <v>24</v>
      </c>
      <c r="Q2" s="6">
        <v>46043</v>
      </c>
    </row>
    <row r="3" spans="1:17" x14ac:dyDescent="0.2">
      <c r="A3" s="5" t="s">
        <v>25</v>
      </c>
      <c r="B3" t="s">
        <v>18</v>
      </c>
      <c r="C3" t="s">
        <v>19</v>
      </c>
      <c r="D3" t="s">
        <v>20</v>
      </c>
      <c r="E3" t="b">
        <v>0</v>
      </c>
      <c r="F3" t="s">
        <v>26</v>
      </c>
      <c r="G3">
        <f t="shared" si="0"/>
        <v>70</v>
      </c>
      <c r="I3" s="6">
        <v>45976</v>
      </c>
      <c r="J3" t="b">
        <v>1</v>
      </c>
      <c r="K3" t="s">
        <v>22</v>
      </c>
      <c r="L3" t="s">
        <v>23</v>
      </c>
      <c r="P3" t="s">
        <v>113</v>
      </c>
      <c r="Q3" s="6">
        <v>46046</v>
      </c>
    </row>
    <row r="4" spans="1:17" x14ac:dyDescent="0.2">
      <c r="A4" s="7" t="s">
        <v>27</v>
      </c>
      <c r="B4" t="s">
        <v>18</v>
      </c>
      <c r="C4" t="s">
        <v>19</v>
      </c>
      <c r="D4" t="s">
        <v>20</v>
      </c>
      <c r="E4" t="b">
        <v>1</v>
      </c>
      <c r="F4" t="s">
        <v>28</v>
      </c>
      <c r="G4">
        <f t="shared" si="0"/>
        <v>147</v>
      </c>
      <c r="H4" t="s">
        <v>29</v>
      </c>
      <c r="I4" s="6">
        <v>45474</v>
      </c>
      <c r="J4" t="b">
        <v>1</v>
      </c>
      <c r="K4" t="s">
        <v>22</v>
      </c>
      <c r="L4" t="s">
        <v>23</v>
      </c>
      <c r="M4">
        <v>11926</v>
      </c>
      <c r="N4">
        <v>1486</v>
      </c>
      <c r="O4">
        <v>2289</v>
      </c>
      <c r="P4" t="s">
        <v>30</v>
      </c>
      <c r="Q4" s="6">
        <v>45621</v>
      </c>
    </row>
    <row r="5" spans="1:17" x14ac:dyDescent="0.2">
      <c r="A5" s="7" t="s">
        <v>31</v>
      </c>
      <c r="B5" t="s">
        <v>18</v>
      </c>
      <c r="C5" t="s">
        <v>19</v>
      </c>
      <c r="D5" t="s">
        <v>20</v>
      </c>
      <c r="E5" t="b">
        <v>1</v>
      </c>
      <c r="F5" t="s">
        <v>32</v>
      </c>
      <c r="G5">
        <f t="shared" si="0"/>
        <v>56</v>
      </c>
      <c r="H5" t="s">
        <v>33</v>
      </c>
      <c r="I5" s="6">
        <v>45927</v>
      </c>
      <c r="J5" t="b">
        <v>1</v>
      </c>
      <c r="K5" t="s">
        <v>22</v>
      </c>
      <c r="L5" t="s">
        <v>23</v>
      </c>
      <c r="M5">
        <v>9113</v>
      </c>
      <c r="N5">
        <v>2433</v>
      </c>
      <c r="O5">
        <v>1443</v>
      </c>
      <c r="P5" t="s">
        <v>34</v>
      </c>
      <c r="Q5" s="6">
        <v>45983</v>
      </c>
    </row>
    <row r="6" spans="1:17" x14ac:dyDescent="0.2">
      <c r="A6" s="7" t="s">
        <v>35</v>
      </c>
      <c r="B6" t="s">
        <v>18</v>
      </c>
      <c r="C6" t="s">
        <v>19</v>
      </c>
      <c r="D6" t="s">
        <v>20</v>
      </c>
      <c r="E6" t="b">
        <v>1</v>
      </c>
      <c r="F6" t="s">
        <v>36</v>
      </c>
      <c r="G6">
        <f t="shared" si="0"/>
        <v>65</v>
      </c>
      <c r="H6" t="s">
        <v>33</v>
      </c>
      <c r="I6" s="6">
        <v>45978</v>
      </c>
      <c r="J6" t="b">
        <v>1</v>
      </c>
      <c r="K6" t="s">
        <v>22</v>
      </c>
      <c r="L6" t="s">
        <v>23</v>
      </c>
      <c r="M6">
        <v>10819</v>
      </c>
      <c r="N6">
        <v>1953</v>
      </c>
      <c r="O6">
        <v>1047</v>
      </c>
      <c r="P6" t="s">
        <v>30</v>
      </c>
      <c r="Q6" s="6">
        <v>46043</v>
      </c>
    </row>
    <row r="7" spans="1:17" x14ac:dyDescent="0.2">
      <c r="A7" s="7" t="s">
        <v>37</v>
      </c>
      <c r="B7" t="s">
        <v>18</v>
      </c>
      <c r="C7" t="s">
        <v>19</v>
      </c>
      <c r="D7" t="s">
        <v>20</v>
      </c>
      <c r="E7" t="b">
        <v>1</v>
      </c>
      <c r="F7" t="s">
        <v>26</v>
      </c>
      <c r="G7">
        <f t="shared" si="0"/>
        <v>56</v>
      </c>
      <c r="H7" t="s">
        <v>38</v>
      </c>
      <c r="I7" s="6">
        <v>46090</v>
      </c>
      <c r="J7" t="b">
        <v>1</v>
      </c>
      <c r="K7" t="s">
        <v>22</v>
      </c>
      <c r="L7" t="s">
        <v>23</v>
      </c>
      <c r="M7">
        <v>19703</v>
      </c>
      <c r="N7">
        <v>2555</v>
      </c>
      <c r="O7">
        <v>1741</v>
      </c>
      <c r="P7" t="s">
        <v>30</v>
      </c>
      <c r="Q7" s="6">
        <v>46146</v>
      </c>
    </row>
    <row r="8" spans="1:17" x14ac:dyDescent="0.2">
      <c r="A8" s="7" t="s">
        <v>39</v>
      </c>
      <c r="B8" t="s">
        <v>18</v>
      </c>
      <c r="C8" t="s">
        <v>19</v>
      </c>
      <c r="D8" t="s">
        <v>20</v>
      </c>
      <c r="E8" t="b">
        <v>1</v>
      </c>
      <c r="F8" t="s">
        <v>21</v>
      </c>
      <c r="G8">
        <f t="shared" si="0"/>
        <v>57</v>
      </c>
      <c r="H8" t="s">
        <v>38</v>
      </c>
      <c r="I8" s="6">
        <v>46093</v>
      </c>
      <c r="J8" t="b">
        <v>1</v>
      </c>
      <c r="K8" t="s">
        <v>22</v>
      </c>
      <c r="L8" t="s">
        <v>23</v>
      </c>
      <c r="M8">
        <v>12147</v>
      </c>
      <c r="N8">
        <v>1643</v>
      </c>
      <c r="O8">
        <v>1286</v>
      </c>
      <c r="P8" t="s">
        <v>30</v>
      </c>
      <c r="Q8" s="6">
        <v>46150</v>
      </c>
    </row>
    <row r="9" spans="1:17" x14ac:dyDescent="0.2">
      <c r="A9" s="7" t="s">
        <v>40</v>
      </c>
      <c r="B9" t="s">
        <v>18</v>
      </c>
      <c r="C9" t="s">
        <v>19</v>
      </c>
      <c r="D9" t="s">
        <v>20</v>
      </c>
      <c r="E9" t="b">
        <v>1</v>
      </c>
      <c r="F9" t="s">
        <v>36</v>
      </c>
      <c r="G9">
        <f t="shared" si="0"/>
        <v>56</v>
      </c>
      <c r="H9" t="s">
        <v>38</v>
      </c>
      <c r="I9" s="6">
        <v>46094</v>
      </c>
      <c r="J9" t="b">
        <v>1</v>
      </c>
      <c r="K9" t="s">
        <v>22</v>
      </c>
      <c r="L9" t="s">
        <v>23</v>
      </c>
      <c r="M9">
        <v>17420</v>
      </c>
      <c r="N9">
        <v>1629</v>
      </c>
      <c r="O9">
        <v>1250</v>
      </c>
      <c r="P9" t="s">
        <v>41</v>
      </c>
      <c r="Q9" s="6">
        <v>46150</v>
      </c>
    </row>
    <row r="10" spans="1:17" x14ac:dyDescent="0.2">
      <c r="A10" s="7" t="s">
        <v>42</v>
      </c>
      <c r="B10" t="s">
        <v>18</v>
      </c>
      <c r="C10" t="s">
        <v>19</v>
      </c>
      <c r="D10" t="s">
        <v>20</v>
      </c>
      <c r="E10" t="b">
        <v>1</v>
      </c>
      <c r="F10" t="s">
        <v>43</v>
      </c>
      <c r="G10">
        <f t="shared" si="0"/>
        <v>56</v>
      </c>
      <c r="H10" t="s">
        <v>38</v>
      </c>
      <c r="I10" s="6">
        <v>46157</v>
      </c>
      <c r="J10" t="b">
        <v>1</v>
      </c>
      <c r="K10" t="s">
        <v>22</v>
      </c>
      <c r="L10" t="s">
        <v>23</v>
      </c>
      <c r="P10" t="s">
        <v>30</v>
      </c>
      <c r="Q10" s="6">
        <v>46213</v>
      </c>
    </row>
    <row r="11" spans="1:17" x14ac:dyDescent="0.2">
      <c r="A11" s="7" t="s">
        <v>44</v>
      </c>
      <c r="B11" t="s">
        <v>18</v>
      </c>
      <c r="C11" t="s">
        <v>19</v>
      </c>
      <c r="D11" t="s">
        <v>20</v>
      </c>
      <c r="E11" t="b">
        <v>1</v>
      </c>
      <c r="F11" t="s">
        <v>45</v>
      </c>
      <c r="G11">
        <f t="shared" si="0"/>
        <v>55</v>
      </c>
      <c r="H11" t="s">
        <v>38</v>
      </c>
      <c r="I11" s="6">
        <v>46158</v>
      </c>
      <c r="J11" t="b">
        <v>1</v>
      </c>
      <c r="K11" t="s">
        <v>22</v>
      </c>
      <c r="L11" t="s">
        <v>23</v>
      </c>
      <c r="P11" t="s">
        <v>30</v>
      </c>
      <c r="Q11" s="6">
        <v>46213</v>
      </c>
    </row>
    <row r="12" spans="1:17" x14ac:dyDescent="0.2">
      <c r="A12" s="7" t="s">
        <v>46</v>
      </c>
      <c r="B12" t="s">
        <v>18</v>
      </c>
      <c r="C12" t="s">
        <v>19</v>
      </c>
      <c r="D12" t="s">
        <v>20</v>
      </c>
      <c r="E12" t="b">
        <v>1</v>
      </c>
      <c r="F12" t="s">
        <v>47</v>
      </c>
      <c r="G12">
        <f t="shared" si="0"/>
        <v>56</v>
      </c>
      <c r="H12" t="s">
        <v>38</v>
      </c>
      <c r="I12" s="6">
        <v>46160</v>
      </c>
      <c r="J12" t="b">
        <v>1</v>
      </c>
      <c r="K12" t="s">
        <v>22</v>
      </c>
      <c r="L12" t="s">
        <v>23</v>
      </c>
      <c r="P12" t="s">
        <v>30</v>
      </c>
      <c r="Q12" s="6">
        <v>46216</v>
      </c>
    </row>
    <row r="13" spans="1:17" x14ac:dyDescent="0.2">
      <c r="A13" s="7" t="s">
        <v>48</v>
      </c>
      <c r="B13" t="s">
        <v>18</v>
      </c>
      <c r="C13" t="s">
        <v>19</v>
      </c>
      <c r="D13" t="s">
        <v>20</v>
      </c>
      <c r="E13" t="b">
        <v>1</v>
      </c>
      <c r="F13" t="s">
        <v>49</v>
      </c>
      <c r="G13">
        <f t="shared" si="0"/>
        <v>57</v>
      </c>
      <c r="H13" t="s">
        <v>38</v>
      </c>
      <c r="I13" s="6">
        <v>46153</v>
      </c>
      <c r="J13" t="b">
        <v>1</v>
      </c>
      <c r="K13" t="s">
        <v>22</v>
      </c>
      <c r="L13" t="s">
        <v>23</v>
      </c>
      <c r="P13" t="s">
        <v>30</v>
      </c>
      <c r="Q13" s="6">
        <v>46210</v>
      </c>
    </row>
    <row r="14" spans="1:17" x14ac:dyDescent="0.2">
      <c r="I14" s="6"/>
      <c r="Q14" s="6"/>
    </row>
    <row r="15" spans="1:17" x14ac:dyDescent="0.2">
      <c r="A15" s="11" t="s">
        <v>50</v>
      </c>
      <c r="B15" t="s">
        <v>18</v>
      </c>
      <c r="C15" t="s">
        <v>19</v>
      </c>
      <c r="D15" t="s">
        <v>51</v>
      </c>
      <c r="E15" t="b">
        <v>1</v>
      </c>
      <c r="F15" t="s">
        <v>32</v>
      </c>
      <c r="G15">
        <f>Q15-I15</f>
        <v>60</v>
      </c>
      <c r="I15" s="6">
        <v>46093</v>
      </c>
      <c r="J15" t="b">
        <v>0</v>
      </c>
      <c r="K15" t="s">
        <v>52</v>
      </c>
      <c r="P15" t="s">
        <v>53</v>
      </c>
      <c r="Q15" s="6">
        <v>46153</v>
      </c>
    </row>
    <row r="16" spans="1:17" x14ac:dyDescent="0.2">
      <c r="A16" s="11" t="s">
        <v>54</v>
      </c>
      <c r="B16" t="s">
        <v>18</v>
      </c>
      <c r="C16" t="s">
        <v>19</v>
      </c>
      <c r="D16" t="s">
        <v>51</v>
      </c>
      <c r="E16" t="b">
        <v>1</v>
      </c>
      <c r="F16" t="s">
        <v>45</v>
      </c>
      <c r="G16">
        <f>Q16-I16</f>
        <v>57</v>
      </c>
      <c r="I16" s="6">
        <v>46093</v>
      </c>
      <c r="J16" t="b">
        <v>0</v>
      </c>
      <c r="K16" t="s">
        <v>52</v>
      </c>
      <c r="P16" t="s">
        <v>55</v>
      </c>
      <c r="Q16" s="6">
        <v>46150</v>
      </c>
    </row>
    <row r="17" spans="1:17" x14ac:dyDescent="0.2">
      <c r="A17" s="7" t="s">
        <v>117</v>
      </c>
      <c r="B17" t="s">
        <v>18</v>
      </c>
      <c r="C17" t="s">
        <v>19</v>
      </c>
      <c r="D17" t="s">
        <v>20</v>
      </c>
      <c r="E17" t="b">
        <v>1</v>
      </c>
      <c r="F17" t="s">
        <v>26</v>
      </c>
      <c r="G17">
        <f>Q17-I17</f>
        <v>62</v>
      </c>
      <c r="I17" s="6">
        <v>46211</v>
      </c>
      <c r="J17" t="b">
        <v>0</v>
      </c>
      <c r="K17" t="s">
        <v>52</v>
      </c>
      <c r="P17" t="s">
        <v>53</v>
      </c>
      <c r="Q17" s="6">
        <v>46273</v>
      </c>
    </row>
    <row r="18" spans="1:17" x14ac:dyDescent="0.2">
      <c r="A18" s="7" t="s">
        <v>118</v>
      </c>
      <c r="B18" t="s">
        <v>18</v>
      </c>
      <c r="C18" t="s">
        <v>19</v>
      </c>
      <c r="D18" t="s">
        <v>20</v>
      </c>
      <c r="E18" t="b">
        <v>1</v>
      </c>
      <c r="F18" t="s">
        <v>36</v>
      </c>
      <c r="G18">
        <f t="shared" ref="G18:G19" si="1">Q18-I18</f>
        <v>58</v>
      </c>
      <c r="I18" s="6">
        <v>46215</v>
      </c>
      <c r="J18" t="b">
        <v>0</v>
      </c>
      <c r="K18" t="s">
        <v>52</v>
      </c>
      <c r="P18" t="s">
        <v>53</v>
      </c>
      <c r="Q18" s="6">
        <v>46273</v>
      </c>
    </row>
    <row r="19" spans="1:17" x14ac:dyDescent="0.2">
      <c r="A19" s="7" t="s">
        <v>119</v>
      </c>
      <c r="B19" t="s">
        <v>18</v>
      </c>
      <c r="C19" t="s">
        <v>19</v>
      </c>
      <c r="D19" t="s">
        <v>20</v>
      </c>
      <c r="E19" t="b">
        <v>1</v>
      </c>
      <c r="F19" t="s">
        <v>49</v>
      </c>
      <c r="G19">
        <f t="shared" si="1"/>
        <v>62</v>
      </c>
      <c r="I19" s="6">
        <v>46211</v>
      </c>
      <c r="J19" t="b">
        <v>0</v>
      </c>
      <c r="K19" t="s">
        <v>52</v>
      </c>
      <c r="P19" t="s">
        <v>55</v>
      </c>
      <c r="Q19" s="6">
        <v>46273</v>
      </c>
    </row>
    <row r="20" spans="1:17" x14ac:dyDescent="0.2">
      <c r="G20">
        <f>AVERAGE(G2:G13,G17:G19)</f>
        <v>65.266666666666666</v>
      </c>
      <c r="H20">
        <f>STDEV(G2:G13,G17:G19)</f>
        <v>23.066570327351805</v>
      </c>
    </row>
    <row r="21" spans="1:17" x14ac:dyDescent="0.2">
      <c r="G21">
        <f>MIN(G2:G13,G17:G19)</f>
        <v>55</v>
      </c>
      <c r="H21">
        <f>MAX(G2:G13,G17:G19)</f>
        <v>147</v>
      </c>
    </row>
    <row r="25" spans="1:17" ht="17" customHeight="1" x14ac:dyDescent="0.2">
      <c r="A25" s="7" t="s">
        <v>56</v>
      </c>
      <c r="B25" t="s">
        <v>18</v>
      </c>
      <c r="C25" t="s">
        <v>57</v>
      </c>
      <c r="D25" t="s">
        <v>20</v>
      </c>
      <c r="E25" t="b">
        <v>1</v>
      </c>
      <c r="F25" t="s">
        <v>58</v>
      </c>
      <c r="G25">
        <f t="shared" ref="G25:G39" si="2">Q25-I25</f>
        <v>60</v>
      </c>
      <c r="H25" t="s">
        <v>29</v>
      </c>
      <c r="I25" s="6">
        <v>46082</v>
      </c>
      <c r="J25" t="b">
        <v>1</v>
      </c>
      <c r="K25" t="s">
        <v>59</v>
      </c>
      <c r="L25" t="s">
        <v>60</v>
      </c>
      <c r="M25">
        <v>3513</v>
      </c>
      <c r="N25">
        <v>1539</v>
      </c>
      <c r="O25">
        <v>1083</v>
      </c>
      <c r="P25" t="s">
        <v>30</v>
      </c>
      <c r="Q25" s="6">
        <v>46142</v>
      </c>
    </row>
    <row r="26" spans="1:17" ht="17" customHeight="1" x14ac:dyDescent="0.2">
      <c r="A26" s="7" t="s">
        <v>61</v>
      </c>
      <c r="B26" t="s">
        <v>18</v>
      </c>
      <c r="C26" t="s">
        <v>57</v>
      </c>
      <c r="D26" t="s">
        <v>20</v>
      </c>
      <c r="E26" t="b">
        <v>1</v>
      </c>
      <c r="F26" t="s">
        <v>62</v>
      </c>
      <c r="G26">
        <f t="shared" si="2"/>
        <v>60</v>
      </c>
      <c r="H26" t="s">
        <v>29</v>
      </c>
      <c r="I26" s="6">
        <v>46082</v>
      </c>
      <c r="J26" t="b">
        <v>1</v>
      </c>
      <c r="K26" t="s">
        <v>59</v>
      </c>
      <c r="L26" t="s">
        <v>60</v>
      </c>
      <c r="M26">
        <v>4947</v>
      </c>
      <c r="N26">
        <v>1346</v>
      </c>
      <c r="O26">
        <v>992</v>
      </c>
      <c r="P26" t="s">
        <v>30</v>
      </c>
      <c r="Q26" s="6">
        <v>46142</v>
      </c>
    </row>
    <row r="27" spans="1:17" x14ac:dyDescent="0.2">
      <c r="A27" s="7" t="s">
        <v>63</v>
      </c>
      <c r="B27" t="s">
        <v>18</v>
      </c>
      <c r="C27" t="s">
        <v>57</v>
      </c>
      <c r="D27" t="s">
        <v>20</v>
      </c>
      <c r="E27" t="b">
        <v>1</v>
      </c>
      <c r="F27" t="s">
        <v>58</v>
      </c>
      <c r="G27">
        <f t="shared" si="2"/>
        <v>66</v>
      </c>
      <c r="H27" t="s">
        <v>29</v>
      </c>
      <c r="I27" s="6">
        <v>45977</v>
      </c>
      <c r="J27" t="b">
        <v>1</v>
      </c>
      <c r="K27" t="s">
        <v>59</v>
      </c>
      <c r="L27" t="s">
        <v>60</v>
      </c>
      <c r="M27">
        <v>7676</v>
      </c>
      <c r="N27">
        <v>3227</v>
      </c>
      <c r="O27">
        <v>3144</v>
      </c>
      <c r="P27" t="s">
        <v>30</v>
      </c>
      <c r="Q27" s="6">
        <v>46043</v>
      </c>
    </row>
    <row r="28" spans="1:17" x14ac:dyDescent="0.2">
      <c r="A28" s="7" t="s">
        <v>64</v>
      </c>
      <c r="B28" t="s">
        <v>18</v>
      </c>
      <c r="C28" t="s">
        <v>57</v>
      </c>
      <c r="D28" t="s">
        <v>20</v>
      </c>
      <c r="E28" t="b">
        <v>1</v>
      </c>
      <c r="F28" t="s">
        <v>62</v>
      </c>
      <c r="G28">
        <f t="shared" si="2"/>
        <v>71</v>
      </c>
      <c r="H28" t="s">
        <v>29</v>
      </c>
      <c r="I28" s="6">
        <v>46015</v>
      </c>
      <c r="J28" t="b">
        <v>1</v>
      </c>
      <c r="K28" t="s">
        <v>59</v>
      </c>
      <c r="L28" t="s">
        <v>60</v>
      </c>
      <c r="M28">
        <v>6289</v>
      </c>
      <c r="N28">
        <v>2114</v>
      </c>
      <c r="O28">
        <v>1656</v>
      </c>
      <c r="P28" t="s">
        <v>30</v>
      </c>
      <c r="Q28" s="6">
        <v>46086</v>
      </c>
    </row>
    <row r="29" spans="1:17" x14ac:dyDescent="0.2">
      <c r="A29" s="7" t="s">
        <v>65</v>
      </c>
      <c r="B29" t="s">
        <v>18</v>
      </c>
      <c r="C29" t="s">
        <v>57</v>
      </c>
      <c r="D29" s="8" t="s">
        <v>20</v>
      </c>
      <c r="E29" t="b">
        <v>1</v>
      </c>
      <c r="F29" t="s">
        <v>28</v>
      </c>
      <c r="G29">
        <f t="shared" si="2"/>
        <v>61</v>
      </c>
      <c r="H29" t="s">
        <v>66</v>
      </c>
      <c r="I29" s="6">
        <v>45575</v>
      </c>
      <c r="J29" t="b">
        <v>1</v>
      </c>
      <c r="K29" t="s">
        <v>59</v>
      </c>
      <c r="L29" t="s">
        <v>23</v>
      </c>
      <c r="M29">
        <v>6526</v>
      </c>
      <c r="N29">
        <v>9921</v>
      </c>
      <c r="O29">
        <v>2522</v>
      </c>
      <c r="P29" t="s">
        <v>67</v>
      </c>
      <c r="Q29" s="6">
        <v>45636</v>
      </c>
    </row>
    <row r="30" spans="1:17" x14ac:dyDescent="0.2">
      <c r="A30" s="7" t="s">
        <v>68</v>
      </c>
      <c r="B30" t="s">
        <v>18</v>
      </c>
      <c r="C30" t="s">
        <v>57</v>
      </c>
      <c r="D30" t="s">
        <v>20</v>
      </c>
      <c r="E30" t="b">
        <v>1</v>
      </c>
      <c r="F30" t="s">
        <v>32</v>
      </c>
      <c r="G30">
        <f t="shared" si="2"/>
        <v>58</v>
      </c>
      <c r="H30" t="s">
        <v>29</v>
      </c>
      <c r="I30" s="6">
        <v>45817</v>
      </c>
      <c r="J30" t="b">
        <v>1</v>
      </c>
      <c r="K30" t="s">
        <v>59</v>
      </c>
      <c r="L30" t="s">
        <v>23</v>
      </c>
      <c r="M30">
        <v>8770</v>
      </c>
      <c r="N30">
        <v>4342</v>
      </c>
      <c r="O30">
        <v>716</v>
      </c>
      <c r="P30" t="s">
        <v>69</v>
      </c>
      <c r="Q30" s="6">
        <v>45875</v>
      </c>
    </row>
    <row r="31" spans="1:17" x14ac:dyDescent="0.2">
      <c r="A31" s="7" t="s">
        <v>70</v>
      </c>
      <c r="B31" t="s">
        <v>18</v>
      </c>
      <c r="C31" t="s">
        <v>57</v>
      </c>
      <c r="D31" t="s">
        <v>20</v>
      </c>
      <c r="E31" t="b">
        <v>1</v>
      </c>
      <c r="F31" t="s">
        <v>45</v>
      </c>
      <c r="G31">
        <f t="shared" si="2"/>
        <v>56</v>
      </c>
      <c r="H31" t="s">
        <v>29</v>
      </c>
      <c r="I31" s="6">
        <v>45863</v>
      </c>
      <c r="J31" t="b">
        <v>1</v>
      </c>
      <c r="K31" t="s">
        <v>59</v>
      </c>
      <c r="L31" t="s">
        <v>23</v>
      </c>
      <c r="M31">
        <v>9314</v>
      </c>
      <c r="N31">
        <v>7295</v>
      </c>
      <c r="O31">
        <v>1191</v>
      </c>
      <c r="P31" t="s">
        <v>69</v>
      </c>
      <c r="Q31" s="6">
        <v>45919</v>
      </c>
    </row>
    <row r="32" spans="1:17" x14ac:dyDescent="0.2">
      <c r="A32" s="7" t="s">
        <v>71</v>
      </c>
      <c r="B32" t="s">
        <v>18</v>
      </c>
      <c r="C32" t="s">
        <v>57</v>
      </c>
      <c r="D32" t="s">
        <v>20</v>
      </c>
      <c r="E32" t="b">
        <v>1</v>
      </c>
      <c r="F32" t="s">
        <v>72</v>
      </c>
      <c r="G32">
        <f t="shared" si="2"/>
        <v>57</v>
      </c>
      <c r="H32" t="s">
        <v>29</v>
      </c>
      <c r="I32" s="6">
        <v>45897</v>
      </c>
      <c r="J32" t="b">
        <v>1</v>
      </c>
      <c r="K32" t="s">
        <v>59</v>
      </c>
      <c r="L32" t="s">
        <v>60</v>
      </c>
      <c r="M32">
        <v>5922</v>
      </c>
      <c r="N32">
        <v>2363</v>
      </c>
      <c r="O32">
        <v>2662</v>
      </c>
      <c r="P32" t="s">
        <v>30</v>
      </c>
      <c r="Q32" s="6">
        <v>45954</v>
      </c>
    </row>
    <row r="33" spans="1:17" x14ac:dyDescent="0.2">
      <c r="A33" s="7" t="s">
        <v>73</v>
      </c>
      <c r="B33" t="s">
        <v>18</v>
      </c>
      <c r="C33" t="s">
        <v>57</v>
      </c>
      <c r="D33" t="s">
        <v>20</v>
      </c>
      <c r="E33" t="b">
        <v>1</v>
      </c>
      <c r="F33" t="s">
        <v>74</v>
      </c>
      <c r="G33">
        <f t="shared" si="2"/>
        <v>57</v>
      </c>
      <c r="H33" t="s">
        <v>29</v>
      </c>
      <c r="I33" s="6">
        <v>45911</v>
      </c>
      <c r="J33" t="b">
        <v>1</v>
      </c>
      <c r="K33" t="s">
        <v>59</v>
      </c>
      <c r="L33" t="s">
        <v>60</v>
      </c>
      <c r="M33">
        <v>8088</v>
      </c>
      <c r="N33">
        <v>7902</v>
      </c>
      <c r="O33">
        <v>4502</v>
      </c>
      <c r="P33" t="s">
        <v>75</v>
      </c>
      <c r="Q33" s="6">
        <v>45968</v>
      </c>
    </row>
    <row r="34" spans="1:17" x14ac:dyDescent="0.2">
      <c r="A34" s="7" t="s">
        <v>76</v>
      </c>
      <c r="B34" t="s">
        <v>18</v>
      </c>
      <c r="C34" t="s">
        <v>57</v>
      </c>
      <c r="D34" t="s">
        <v>20</v>
      </c>
      <c r="E34" t="b">
        <v>1</v>
      </c>
      <c r="F34" t="s">
        <v>74</v>
      </c>
      <c r="G34">
        <f t="shared" si="2"/>
        <v>64</v>
      </c>
      <c r="H34" t="s">
        <v>29</v>
      </c>
      <c r="I34" s="6">
        <v>45937</v>
      </c>
      <c r="J34" t="b">
        <v>1</v>
      </c>
      <c r="K34" t="s">
        <v>59</v>
      </c>
      <c r="L34" t="s">
        <v>60</v>
      </c>
      <c r="M34">
        <v>11037</v>
      </c>
      <c r="N34">
        <v>11253</v>
      </c>
      <c r="O34">
        <v>10859</v>
      </c>
      <c r="P34" t="s">
        <v>77</v>
      </c>
      <c r="Q34" s="6">
        <v>46001</v>
      </c>
    </row>
    <row r="35" spans="1:17" x14ac:dyDescent="0.2">
      <c r="A35" s="7" t="s">
        <v>80</v>
      </c>
      <c r="B35" t="s">
        <v>18</v>
      </c>
      <c r="C35" t="s">
        <v>57</v>
      </c>
      <c r="D35" t="s">
        <v>20</v>
      </c>
      <c r="E35" t="b">
        <v>1</v>
      </c>
      <c r="F35" t="s">
        <v>26</v>
      </c>
      <c r="G35">
        <f>Q35-I35</f>
        <v>64</v>
      </c>
      <c r="H35" t="s">
        <v>29</v>
      </c>
      <c r="I35" s="6">
        <v>46168</v>
      </c>
      <c r="J35" t="b">
        <v>1</v>
      </c>
      <c r="K35" t="s">
        <v>59</v>
      </c>
      <c r="L35" t="s">
        <v>60</v>
      </c>
      <c r="P35" t="s">
        <v>30</v>
      </c>
      <c r="Q35" s="6">
        <v>46232</v>
      </c>
    </row>
    <row r="36" spans="1:17" x14ac:dyDescent="0.2">
      <c r="A36" s="7" t="s">
        <v>81</v>
      </c>
      <c r="B36" t="s">
        <v>18</v>
      </c>
      <c r="C36" t="s">
        <v>57</v>
      </c>
      <c r="D36" t="s">
        <v>20</v>
      </c>
      <c r="E36" t="b">
        <v>1</v>
      </c>
      <c r="F36" t="s">
        <v>58</v>
      </c>
      <c r="G36">
        <f>Q36-I36</f>
        <v>58</v>
      </c>
      <c r="H36" t="s">
        <v>29</v>
      </c>
      <c r="I36" s="6">
        <v>46155</v>
      </c>
      <c r="J36" t="b">
        <v>1</v>
      </c>
      <c r="K36" t="s">
        <v>59</v>
      </c>
      <c r="L36" t="s">
        <v>60</v>
      </c>
      <c r="P36" t="s">
        <v>30</v>
      </c>
      <c r="Q36" s="6">
        <v>46213</v>
      </c>
    </row>
    <row r="37" spans="1:17" x14ac:dyDescent="0.2">
      <c r="A37" t="s">
        <v>78</v>
      </c>
      <c r="B37" t="s">
        <v>18</v>
      </c>
      <c r="C37" t="s">
        <v>57</v>
      </c>
      <c r="D37" t="s">
        <v>20</v>
      </c>
      <c r="E37" t="b">
        <v>1</v>
      </c>
      <c r="F37" t="s">
        <v>32</v>
      </c>
      <c r="G37">
        <f t="shared" si="2"/>
        <v>57</v>
      </c>
      <c r="H37" t="s">
        <v>29</v>
      </c>
      <c r="I37" s="6">
        <v>46175</v>
      </c>
      <c r="J37" t="b">
        <v>1</v>
      </c>
      <c r="K37" t="s">
        <v>59</v>
      </c>
      <c r="L37" t="s">
        <v>60</v>
      </c>
      <c r="P37" t="s">
        <v>115</v>
      </c>
      <c r="Q37" s="6">
        <v>46232</v>
      </c>
    </row>
    <row r="38" spans="1:17" x14ac:dyDescent="0.2">
      <c r="A38" t="s">
        <v>79</v>
      </c>
      <c r="B38" t="s">
        <v>18</v>
      </c>
      <c r="C38" t="s">
        <v>57</v>
      </c>
      <c r="D38" t="s">
        <v>20</v>
      </c>
      <c r="E38" t="b">
        <v>1</v>
      </c>
      <c r="F38" t="s">
        <v>28</v>
      </c>
      <c r="G38">
        <f t="shared" si="2"/>
        <v>53</v>
      </c>
      <c r="H38" t="s">
        <v>29</v>
      </c>
      <c r="I38" s="6">
        <v>46143</v>
      </c>
      <c r="J38" t="b">
        <v>1</v>
      </c>
      <c r="K38" t="s">
        <v>59</v>
      </c>
      <c r="L38" t="s">
        <v>60</v>
      </c>
      <c r="P38" t="s">
        <v>115</v>
      </c>
      <c r="Q38" s="6">
        <v>46196</v>
      </c>
    </row>
    <row r="39" spans="1:17" x14ac:dyDescent="0.2">
      <c r="A39" t="s">
        <v>82</v>
      </c>
      <c r="B39" t="s">
        <v>18</v>
      </c>
      <c r="C39" t="s">
        <v>57</v>
      </c>
      <c r="D39" t="s">
        <v>20</v>
      </c>
      <c r="E39" t="b">
        <v>1</v>
      </c>
      <c r="F39" t="s">
        <v>83</v>
      </c>
      <c r="G39">
        <f t="shared" si="2"/>
        <v>56</v>
      </c>
      <c r="H39" t="s">
        <v>29</v>
      </c>
      <c r="I39" s="6">
        <v>46157</v>
      </c>
      <c r="J39" t="b">
        <v>1</v>
      </c>
      <c r="K39" t="s">
        <v>59</v>
      </c>
      <c r="L39" t="s">
        <v>60</v>
      </c>
      <c r="P39" t="s">
        <v>116</v>
      </c>
      <c r="Q39" s="6">
        <v>46213</v>
      </c>
    </row>
    <row r="40" spans="1:17" x14ac:dyDescent="0.2">
      <c r="F40">
        <f>AVERAGE(G25:G36,G42:G48)</f>
        <v>63.526315789473685</v>
      </c>
      <c r="G40">
        <f>STDEV(G25:G36,G42:G48)</f>
        <v>7.7270694534979754</v>
      </c>
      <c r="I40" s="6"/>
      <c r="Q40" s="6"/>
    </row>
    <row r="41" spans="1:17" x14ac:dyDescent="0.2">
      <c r="F41">
        <f>MIN(G25:G36,G42:G48)</f>
        <v>56</v>
      </c>
      <c r="G41">
        <f>MAX(G25:G36,G42:G48)</f>
        <v>85</v>
      </c>
      <c r="I41" s="6"/>
      <c r="Q41" s="6"/>
    </row>
    <row r="42" spans="1:17" x14ac:dyDescent="0.2">
      <c r="A42" s="5" t="s">
        <v>84</v>
      </c>
      <c r="B42" t="s">
        <v>18</v>
      </c>
      <c r="C42" t="s">
        <v>57</v>
      </c>
      <c r="D42" t="s">
        <v>20</v>
      </c>
      <c r="E42" t="b">
        <v>0</v>
      </c>
      <c r="F42" t="s">
        <v>32</v>
      </c>
      <c r="G42">
        <f t="shared" ref="G42:G48" si="3">Q42-I42</f>
        <v>58</v>
      </c>
      <c r="H42" t="s">
        <v>29</v>
      </c>
      <c r="I42" s="6">
        <v>45817</v>
      </c>
      <c r="J42" t="b">
        <v>1</v>
      </c>
      <c r="K42" t="s">
        <v>59</v>
      </c>
      <c r="L42" t="s">
        <v>23</v>
      </c>
      <c r="P42" t="s">
        <v>114</v>
      </c>
      <c r="Q42" s="6">
        <v>45875</v>
      </c>
    </row>
    <row r="43" spans="1:17" x14ac:dyDescent="0.2">
      <c r="A43" s="5" t="s">
        <v>85</v>
      </c>
      <c r="B43" t="s">
        <v>18</v>
      </c>
      <c r="C43" t="s">
        <v>57</v>
      </c>
      <c r="D43" t="s">
        <v>20</v>
      </c>
      <c r="E43" t="b">
        <v>0</v>
      </c>
      <c r="F43" t="s">
        <v>28</v>
      </c>
      <c r="G43">
        <f t="shared" si="3"/>
        <v>65</v>
      </c>
      <c r="H43" t="s">
        <v>29</v>
      </c>
      <c r="I43" s="6">
        <v>45507</v>
      </c>
      <c r="J43" t="b">
        <v>1</v>
      </c>
      <c r="K43" t="s">
        <v>59</v>
      </c>
      <c r="L43" t="s">
        <v>23</v>
      </c>
      <c r="P43" t="s">
        <v>86</v>
      </c>
      <c r="Q43" s="6">
        <v>45572</v>
      </c>
    </row>
    <row r="44" spans="1:17" x14ac:dyDescent="0.2">
      <c r="A44" s="5" t="s">
        <v>87</v>
      </c>
      <c r="B44" t="s">
        <v>18</v>
      </c>
      <c r="C44" t="s">
        <v>57</v>
      </c>
      <c r="D44" t="s">
        <v>20</v>
      </c>
      <c r="E44" t="b">
        <v>0</v>
      </c>
      <c r="F44" t="s">
        <v>102</v>
      </c>
      <c r="G44">
        <f t="shared" si="3"/>
        <v>60</v>
      </c>
      <c r="H44" t="s">
        <v>29</v>
      </c>
      <c r="I44" s="6">
        <v>45772</v>
      </c>
      <c r="J44" t="b">
        <v>1</v>
      </c>
      <c r="K44" t="s">
        <v>59</v>
      </c>
      <c r="L44" t="s">
        <v>23</v>
      </c>
      <c r="P44" t="s">
        <v>86</v>
      </c>
      <c r="Q44" s="6">
        <v>45832</v>
      </c>
    </row>
    <row r="45" spans="1:17" x14ac:dyDescent="0.2">
      <c r="A45" s="5" t="s">
        <v>88</v>
      </c>
      <c r="B45" t="s">
        <v>18</v>
      </c>
      <c r="C45" t="s">
        <v>57</v>
      </c>
      <c r="D45" t="s">
        <v>20</v>
      </c>
      <c r="E45" t="b">
        <v>0</v>
      </c>
      <c r="F45" t="s">
        <v>45</v>
      </c>
      <c r="G45">
        <f t="shared" si="3"/>
        <v>59</v>
      </c>
      <c r="H45" t="s">
        <v>29</v>
      </c>
      <c r="I45" s="6">
        <v>45773</v>
      </c>
      <c r="J45" t="b">
        <v>1</v>
      </c>
      <c r="K45" t="s">
        <v>59</v>
      </c>
      <c r="L45" t="s">
        <v>23</v>
      </c>
      <c r="P45" t="s">
        <v>89</v>
      </c>
      <c r="Q45" s="6">
        <v>45832</v>
      </c>
    </row>
    <row r="46" spans="1:17" x14ac:dyDescent="0.2">
      <c r="A46" s="5" t="s">
        <v>90</v>
      </c>
      <c r="B46" t="s">
        <v>18</v>
      </c>
      <c r="C46" t="s">
        <v>57</v>
      </c>
      <c r="D46" t="s">
        <v>20</v>
      </c>
      <c r="E46" t="b">
        <v>0</v>
      </c>
      <c r="F46" t="s">
        <v>28</v>
      </c>
      <c r="G46">
        <f t="shared" si="3"/>
        <v>85</v>
      </c>
      <c r="H46" t="s">
        <v>29</v>
      </c>
      <c r="I46" s="6">
        <v>45774</v>
      </c>
      <c r="J46" t="b">
        <v>1</v>
      </c>
      <c r="K46" t="s">
        <v>59</v>
      </c>
      <c r="L46" t="s">
        <v>23</v>
      </c>
      <c r="P46" t="s">
        <v>89</v>
      </c>
      <c r="Q46" s="6">
        <v>45859</v>
      </c>
    </row>
    <row r="47" spans="1:17" x14ac:dyDescent="0.2">
      <c r="A47" s="5" t="s">
        <v>91</v>
      </c>
      <c r="B47" t="s">
        <v>18</v>
      </c>
      <c r="C47" t="s">
        <v>57</v>
      </c>
      <c r="D47" t="s">
        <v>20</v>
      </c>
      <c r="E47" t="b">
        <v>0</v>
      </c>
      <c r="F47" t="s">
        <v>74</v>
      </c>
      <c r="G47">
        <f t="shared" si="3"/>
        <v>70</v>
      </c>
      <c r="H47" t="s">
        <v>29</v>
      </c>
      <c r="I47" s="6">
        <v>45832</v>
      </c>
      <c r="J47" t="b">
        <v>1</v>
      </c>
      <c r="K47" t="s">
        <v>59</v>
      </c>
      <c r="L47" t="s">
        <v>23</v>
      </c>
      <c r="P47" t="s">
        <v>89</v>
      </c>
      <c r="Q47" s="6">
        <v>45902</v>
      </c>
    </row>
    <row r="48" spans="1:17" x14ac:dyDescent="0.2">
      <c r="A48" s="5" t="s">
        <v>92</v>
      </c>
      <c r="B48" t="s">
        <v>18</v>
      </c>
      <c r="C48" t="s">
        <v>57</v>
      </c>
      <c r="D48" t="s">
        <v>20</v>
      </c>
      <c r="E48" t="b">
        <v>0</v>
      </c>
      <c r="F48" t="s">
        <v>49</v>
      </c>
      <c r="G48">
        <f t="shared" si="3"/>
        <v>78</v>
      </c>
      <c r="H48" t="s">
        <v>29</v>
      </c>
      <c r="I48" s="6">
        <v>45986</v>
      </c>
      <c r="J48" t="b">
        <v>1</v>
      </c>
      <c r="K48" t="s">
        <v>59</v>
      </c>
      <c r="L48" t="s">
        <v>60</v>
      </c>
      <c r="P48" t="s">
        <v>112</v>
      </c>
      <c r="Q48" s="6">
        <v>46064</v>
      </c>
    </row>
    <row r="52" spans="1:17" x14ac:dyDescent="0.2">
      <c r="A52" s="10" t="s">
        <v>111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x14ac:dyDescent="0.2">
      <c r="A53" s="7" t="s">
        <v>93</v>
      </c>
      <c r="B53" t="s">
        <v>94</v>
      </c>
      <c r="C53" t="s">
        <v>57</v>
      </c>
      <c r="D53" t="s">
        <v>20</v>
      </c>
      <c r="E53" t="b">
        <v>1</v>
      </c>
      <c r="F53" t="s">
        <v>74</v>
      </c>
      <c r="H53" t="s">
        <v>29</v>
      </c>
      <c r="I53" s="6">
        <v>43457</v>
      </c>
      <c r="J53" t="b">
        <v>0</v>
      </c>
      <c r="K53" t="s">
        <v>59</v>
      </c>
      <c r="L53" t="s">
        <v>95</v>
      </c>
      <c r="P53" t="s">
        <v>104</v>
      </c>
      <c r="Q53" s="6">
        <v>43525</v>
      </c>
    </row>
    <row r="54" spans="1:17" x14ac:dyDescent="0.2">
      <c r="A54" s="7" t="s">
        <v>96</v>
      </c>
      <c r="B54" t="s">
        <v>94</v>
      </c>
      <c r="C54" t="s">
        <v>57</v>
      </c>
      <c r="D54" t="s">
        <v>20</v>
      </c>
      <c r="E54" t="b">
        <v>1</v>
      </c>
      <c r="F54" t="s">
        <v>28</v>
      </c>
      <c r="H54" t="s">
        <v>29</v>
      </c>
      <c r="I54" s="6">
        <v>43488</v>
      </c>
      <c r="J54" t="b">
        <v>0</v>
      </c>
      <c r="K54" t="s">
        <v>59</v>
      </c>
      <c r="L54" t="s">
        <v>97</v>
      </c>
      <c r="P54" t="s">
        <v>105</v>
      </c>
      <c r="Q54" s="6">
        <v>43556</v>
      </c>
    </row>
    <row r="55" spans="1:17" x14ac:dyDescent="0.2">
      <c r="A55" s="7" t="s">
        <v>98</v>
      </c>
      <c r="B55" t="s">
        <v>94</v>
      </c>
      <c r="C55" t="s">
        <v>57</v>
      </c>
      <c r="D55" t="s">
        <v>20</v>
      </c>
      <c r="E55" t="b">
        <v>1</v>
      </c>
      <c r="F55" t="s">
        <v>26</v>
      </c>
      <c r="H55" t="s">
        <v>29</v>
      </c>
      <c r="I55" s="6">
        <v>43616</v>
      </c>
      <c r="J55" t="b">
        <v>0</v>
      </c>
      <c r="K55" t="s">
        <v>59</v>
      </c>
      <c r="L55" t="s">
        <v>97</v>
      </c>
      <c r="P55" t="s">
        <v>106</v>
      </c>
      <c r="Q55" s="6">
        <v>43679</v>
      </c>
    </row>
    <row r="56" spans="1:17" x14ac:dyDescent="0.2">
      <c r="A56" s="7" t="s">
        <v>99</v>
      </c>
      <c r="B56" t="s">
        <v>94</v>
      </c>
      <c r="C56" t="s">
        <v>57</v>
      </c>
      <c r="D56" t="s">
        <v>20</v>
      </c>
      <c r="E56" t="b">
        <v>1</v>
      </c>
      <c r="F56" t="s">
        <v>32</v>
      </c>
      <c r="H56" t="s">
        <v>29</v>
      </c>
      <c r="I56" s="6">
        <v>43617</v>
      </c>
      <c r="J56" t="b">
        <v>0</v>
      </c>
      <c r="K56" t="s">
        <v>59</v>
      </c>
      <c r="L56" t="s">
        <v>97</v>
      </c>
      <c r="P56" t="s">
        <v>107</v>
      </c>
      <c r="Q56" s="6">
        <v>43679</v>
      </c>
    </row>
    <row r="57" spans="1:17" x14ac:dyDescent="0.2">
      <c r="A57" s="7" t="s">
        <v>100</v>
      </c>
      <c r="B57" t="s">
        <v>94</v>
      </c>
      <c r="C57" t="s">
        <v>57</v>
      </c>
      <c r="D57" t="s">
        <v>20</v>
      </c>
      <c r="E57" t="b">
        <v>1</v>
      </c>
      <c r="F57" t="s">
        <v>74</v>
      </c>
      <c r="H57" t="s">
        <v>29</v>
      </c>
      <c r="I57" s="6">
        <v>43666</v>
      </c>
      <c r="J57" t="b">
        <v>0</v>
      </c>
      <c r="K57" t="s">
        <v>59</v>
      </c>
      <c r="L57" t="s">
        <v>97</v>
      </c>
      <c r="P57" t="s">
        <v>108</v>
      </c>
      <c r="Q57" s="6">
        <v>43727</v>
      </c>
    </row>
    <row r="58" spans="1:17" x14ac:dyDescent="0.2">
      <c r="A58" s="7" t="s">
        <v>101</v>
      </c>
      <c r="B58" t="s">
        <v>94</v>
      </c>
      <c r="C58" t="s">
        <v>57</v>
      </c>
      <c r="D58" t="s">
        <v>20</v>
      </c>
      <c r="E58" t="b">
        <v>1</v>
      </c>
      <c r="F58" t="s">
        <v>102</v>
      </c>
      <c r="H58" t="s">
        <v>29</v>
      </c>
      <c r="I58" s="6">
        <v>43685</v>
      </c>
      <c r="J58" t="b">
        <v>0</v>
      </c>
      <c r="K58" t="s">
        <v>59</v>
      </c>
      <c r="L58" t="s">
        <v>97</v>
      </c>
      <c r="P58" t="s">
        <v>109</v>
      </c>
      <c r="Q58" s="6">
        <v>43753</v>
      </c>
    </row>
    <row r="59" spans="1:17" x14ac:dyDescent="0.2">
      <c r="A59" s="7" t="s">
        <v>103</v>
      </c>
      <c r="B59" t="s">
        <v>94</v>
      </c>
      <c r="C59" t="s">
        <v>57</v>
      </c>
      <c r="D59" t="s">
        <v>20</v>
      </c>
      <c r="E59" t="b">
        <v>1</v>
      </c>
      <c r="F59" t="s">
        <v>26</v>
      </c>
      <c r="H59" t="s">
        <v>29</v>
      </c>
      <c r="I59" s="6">
        <v>43699</v>
      </c>
      <c r="J59" t="b">
        <v>0</v>
      </c>
      <c r="K59" t="s">
        <v>59</v>
      </c>
      <c r="L59" t="s">
        <v>97</v>
      </c>
      <c r="P59" t="s">
        <v>110</v>
      </c>
      <c r="Q59" s="6">
        <v>43759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Tianle</dc:creator>
  <cp:lastModifiedBy>Xu, Tianle</cp:lastModifiedBy>
  <dcterms:created xsi:type="dcterms:W3CDTF">2026-08-19T01:07:37Z</dcterms:created>
  <dcterms:modified xsi:type="dcterms:W3CDTF">2026-09-21T14:35:17Z</dcterms:modified>
</cp:coreProperties>
</file>